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cavc\Documents\"/>
    </mc:Choice>
  </mc:AlternateContent>
  <xr:revisionPtr revIDLastSave="0" documentId="8_{5E26EAC0-5173-4A02-89CD-7A52F864C377}" xr6:coauthVersionLast="47" xr6:coauthVersionMax="47" xr10:uidLastSave="{00000000-0000-0000-0000-000000000000}"/>
  <bookViews>
    <workbookView xWindow="-120" yWindow="-120" windowWidth="20730" windowHeight="11040" xr2:uid="{3628CEA7-8615-45A8-BCEE-64BF3CFF4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K11" i="1" s="1"/>
  <c r="I10" i="1"/>
  <c r="K10" i="1" s="1"/>
  <c r="I9" i="1"/>
  <c r="K9" i="1" s="1"/>
  <c r="I8" i="1"/>
  <c r="K8" i="1" s="1"/>
  <c r="K7" i="1"/>
  <c r="I7" i="1"/>
  <c r="I6" i="1"/>
  <c r="K6" i="1" s="1"/>
  <c r="I5" i="1"/>
  <c r="K5" i="1" s="1"/>
  <c r="I4" i="1"/>
  <c r="K4" i="1" s="1"/>
  <c r="K3" i="1"/>
  <c r="K2" i="1"/>
</calcChain>
</file>

<file path=xl/sharedStrings.xml><?xml version="1.0" encoding="utf-8"?>
<sst xmlns="http://schemas.openxmlformats.org/spreadsheetml/2006/main" count="61" uniqueCount="44">
  <si>
    <t>Student ID</t>
  </si>
  <si>
    <t>Name</t>
  </si>
  <si>
    <t>Gender</t>
  </si>
  <si>
    <t>Department</t>
  </si>
  <si>
    <t>Attendance%</t>
  </si>
  <si>
    <t>Internal  Score</t>
  </si>
  <si>
    <t>Assignment Score</t>
  </si>
  <si>
    <t>Exam Score</t>
  </si>
  <si>
    <t>Total</t>
  </si>
  <si>
    <t>Grade</t>
  </si>
  <si>
    <t>Status</t>
  </si>
  <si>
    <t>ST001</t>
  </si>
  <si>
    <t>Ajith</t>
  </si>
  <si>
    <t>Male</t>
  </si>
  <si>
    <t>CSE</t>
  </si>
  <si>
    <t>A</t>
  </si>
  <si>
    <t>ST002</t>
  </si>
  <si>
    <t>Priya</t>
  </si>
  <si>
    <t>Female</t>
  </si>
  <si>
    <t>IT</t>
  </si>
  <si>
    <t>B</t>
  </si>
  <si>
    <t>ST003</t>
  </si>
  <si>
    <t>Kavin</t>
  </si>
  <si>
    <t>ECE</t>
  </si>
  <si>
    <t>C</t>
  </si>
  <si>
    <t>ST004</t>
  </si>
  <si>
    <t>Nisha</t>
  </si>
  <si>
    <t>A+</t>
  </si>
  <si>
    <t>ST005</t>
  </si>
  <si>
    <t>Rahul</t>
  </si>
  <si>
    <t>MECHANICAL</t>
  </si>
  <si>
    <t>D</t>
  </si>
  <si>
    <t>ST006</t>
  </si>
  <si>
    <t>Diya</t>
  </si>
  <si>
    <t>ST007</t>
  </si>
  <si>
    <t>Surya</t>
  </si>
  <si>
    <t>EEE</t>
  </si>
  <si>
    <t>ST008</t>
  </si>
  <si>
    <t>Harini</t>
  </si>
  <si>
    <t>ST009</t>
  </si>
  <si>
    <t>Vignesh</t>
  </si>
  <si>
    <t>CIVIL</t>
  </si>
  <si>
    <t>ST010</t>
  </si>
  <si>
    <t>Keerthi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</si>
</sst>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6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4025-86F0-4307-B1F8-77344158164A}">
  <dimension ref="A1:K11"/>
  <sheetViews>
    <sheetView tabSelected="1" workbookViewId="0">
      <selection sqref="A1:K12"/>
    </sheetView>
  </sheetViews>
  <sheetFormatPr defaultRowHeight="15" x14ac:dyDescent="0.25"/>
  <sheetData>
    <row r="1" spans="1:11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92</v>
      </c>
      <c r="F2">
        <v>40</v>
      </c>
      <c r="G2">
        <v>18</v>
      </c>
      <c r="H2">
        <v>85</v>
      </c>
      <c r="I2">
        <v>143</v>
      </c>
      <c r="J2" t="s">
        <v>15</v>
      </c>
      <c r="K2" s="3" t="str">
        <f>IF(I2&gt;=80,"Pass","Fail")</f>
        <v>Pass</v>
      </c>
    </row>
    <row r="3" spans="1:11" x14ac:dyDescent="0.25">
      <c r="A3" t="s">
        <v>16</v>
      </c>
      <c r="B3" t="s">
        <v>17</v>
      </c>
      <c r="C3" t="s">
        <v>18</v>
      </c>
      <c r="D3" t="s">
        <v>19</v>
      </c>
      <c r="E3">
        <v>88</v>
      </c>
      <c r="F3">
        <v>35</v>
      </c>
      <c r="G3">
        <v>16</v>
      </c>
      <c r="H3">
        <v>74</v>
      </c>
      <c r="I3">
        <v>125</v>
      </c>
      <c r="J3" t="s">
        <v>20</v>
      </c>
      <c r="K3" s="3" t="str">
        <f t="shared" ref="K3:K11" si="0">IF(I3&gt;=80,"Pass","Fail")</f>
        <v>Pass</v>
      </c>
    </row>
    <row r="4" spans="1:11" x14ac:dyDescent="0.25">
      <c r="A4" t="s">
        <v>21</v>
      </c>
      <c r="B4" t="s">
        <v>22</v>
      </c>
      <c r="C4" t="s">
        <v>13</v>
      </c>
      <c r="D4" t="s">
        <v>23</v>
      </c>
      <c r="E4">
        <v>70</v>
      </c>
      <c r="F4">
        <v>28</v>
      </c>
      <c r="G4">
        <v>12</v>
      </c>
      <c r="H4">
        <v>45</v>
      </c>
      <c r="I4">
        <f>F4+G4+H4</f>
        <v>85</v>
      </c>
      <c r="J4" t="s">
        <v>24</v>
      </c>
      <c r="K4" s="3" t="str">
        <f t="shared" si="0"/>
        <v>Pass</v>
      </c>
    </row>
    <row r="5" spans="1:11" x14ac:dyDescent="0.25">
      <c r="A5" t="s">
        <v>25</v>
      </c>
      <c r="B5" t="s">
        <v>26</v>
      </c>
      <c r="C5" t="s">
        <v>18</v>
      </c>
      <c r="D5" t="s">
        <v>14</v>
      </c>
      <c r="E5">
        <v>95</v>
      </c>
      <c r="F5">
        <v>42</v>
      </c>
      <c r="G5">
        <v>20</v>
      </c>
      <c r="H5">
        <v>90</v>
      </c>
      <c r="I5">
        <f t="shared" ref="I5:I11" si="1">F5+G5+H5</f>
        <v>152</v>
      </c>
      <c r="J5" t="s">
        <v>27</v>
      </c>
      <c r="K5" s="3" t="str">
        <f t="shared" si="0"/>
        <v>Pass</v>
      </c>
    </row>
    <row r="6" spans="1:11" x14ac:dyDescent="0.25">
      <c r="A6" t="s">
        <v>28</v>
      </c>
      <c r="B6" t="s">
        <v>29</v>
      </c>
      <c r="C6" t="s">
        <v>13</v>
      </c>
      <c r="D6" t="s">
        <v>30</v>
      </c>
      <c r="E6">
        <v>60</v>
      </c>
      <c r="F6">
        <v>20</v>
      </c>
      <c r="G6">
        <v>10</v>
      </c>
      <c r="H6">
        <v>35</v>
      </c>
      <c r="I6">
        <f t="shared" si="1"/>
        <v>65</v>
      </c>
      <c r="J6" t="s">
        <v>31</v>
      </c>
      <c r="K6" s="3" t="str">
        <f t="shared" si="0"/>
        <v>Fail</v>
      </c>
    </row>
    <row r="7" spans="1:11" x14ac:dyDescent="0.25">
      <c r="A7" t="s">
        <v>32</v>
      </c>
      <c r="B7" t="s">
        <v>33</v>
      </c>
      <c r="C7" t="s">
        <v>18</v>
      </c>
      <c r="D7" t="s">
        <v>19</v>
      </c>
      <c r="E7">
        <v>85</v>
      </c>
      <c r="F7">
        <v>38</v>
      </c>
      <c r="G7">
        <v>17</v>
      </c>
      <c r="H7">
        <v>80</v>
      </c>
      <c r="I7">
        <f t="shared" si="1"/>
        <v>135</v>
      </c>
      <c r="J7" t="s">
        <v>15</v>
      </c>
      <c r="K7" s="3" t="str">
        <f t="shared" si="0"/>
        <v>Pass</v>
      </c>
    </row>
    <row r="8" spans="1:11" x14ac:dyDescent="0.25">
      <c r="A8" t="s">
        <v>34</v>
      </c>
      <c r="B8" t="s">
        <v>35</v>
      </c>
      <c r="C8" t="s">
        <v>13</v>
      </c>
      <c r="D8" t="s">
        <v>36</v>
      </c>
      <c r="E8">
        <v>78</v>
      </c>
      <c r="F8">
        <v>30</v>
      </c>
      <c r="G8">
        <v>14</v>
      </c>
      <c r="H8">
        <v>60</v>
      </c>
      <c r="I8">
        <f t="shared" si="1"/>
        <v>104</v>
      </c>
      <c r="J8" t="s">
        <v>20</v>
      </c>
      <c r="K8" s="3" t="str">
        <f t="shared" si="0"/>
        <v>Pass</v>
      </c>
    </row>
    <row r="9" spans="1:11" x14ac:dyDescent="0.25">
      <c r="A9" t="s">
        <v>37</v>
      </c>
      <c r="B9" t="s">
        <v>38</v>
      </c>
      <c r="C9" t="s">
        <v>18</v>
      </c>
      <c r="D9" t="s">
        <v>23</v>
      </c>
      <c r="E9">
        <v>98</v>
      </c>
      <c r="F9">
        <v>45</v>
      </c>
      <c r="G9">
        <v>19</v>
      </c>
      <c r="H9">
        <v>95</v>
      </c>
      <c r="I9">
        <f t="shared" si="1"/>
        <v>159</v>
      </c>
      <c r="J9" t="s">
        <v>27</v>
      </c>
      <c r="K9" s="3" t="str">
        <f t="shared" si="0"/>
        <v>Pass</v>
      </c>
    </row>
    <row r="10" spans="1:11" x14ac:dyDescent="0.25">
      <c r="A10" t="s">
        <v>39</v>
      </c>
      <c r="B10" t="s">
        <v>40</v>
      </c>
      <c r="C10" t="s">
        <v>13</v>
      </c>
      <c r="D10" t="s">
        <v>41</v>
      </c>
      <c r="E10">
        <v>66</v>
      </c>
      <c r="F10">
        <v>24</v>
      </c>
      <c r="G10">
        <v>11</v>
      </c>
      <c r="H10">
        <v>40</v>
      </c>
      <c r="I10">
        <f t="shared" si="1"/>
        <v>75</v>
      </c>
      <c r="J10" t="s">
        <v>31</v>
      </c>
      <c r="K10" s="3" t="str">
        <f t="shared" si="0"/>
        <v>Fail</v>
      </c>
    </row>
    <row r="11" spans="1:11" x14ac:dyDescent="0.25">
      <c r="A11" t="s">
        <v>42</v>
      </c>
      <c r="B11" t="s">
        <v>43</v>
      </c>
      <c r="C11" t="s">
        <v>18</v>
      </c>
      <c r="D11" t="s">
        <v>14</v>
      </c>
      <c r="E11">
        <v>90</v>
      </c>
      <c r="F11">
        <v>39</v>
      </c>
      <c r="G11">
        <v>18</v>
      </c>
      <c r="H11">
        <v>82</v>
      </c>
      <c r="I11">
        <f t="shared" si="1"/>
        <v>139</v>
      </c>
      <c r="J11" t="s">
        <v>15</v>
      </c>
      <c r="K11" s="3" t="str">
        <f t="shared" si="0"/>
        <v>Pass</v>
      </c>
    </row>
  </sheetData>
  <conditionalFormatting sqref="K2:K11">
    <cfRule type="containsText" dxfId="1" priority="1" operator="containsText" text="Pass">
      <formula>NOT(ISERROR(SEARCH("Pass",K2)))</formula>
    </cfRule>
    <cfRule type="containsText" dxfId="0" priority="2" operator="containsText" text="Fail">
      <formula>NOT(ISERROR(SEARCH("Fail",K2)))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BCA</dc:creator>
  <cp:lastModifiedBy>Admin BCA</cp:lastModifiedBy>
  <dcterms:created xsi:type="dcterms:W3CDTF">2026-06-13T14:09:54Z</dcterms:created>
  <dcterms:modified xsi:type="dcterms:W3CDTF">2026-06-13T14:10:10Z</dcterms:modified>
</cp:coreProperties>
</file>